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 2025" sheetId="1" r:id="rId4"/>
    <sheet state="visible" name="Spring 2026" sheetId="2" r:id="rId5"/>
  </sheets>
  <definedNames/>
  <calcPr/>
</workbook>
</file>

<file path=xl/sharedStrings.xml><?xml version="1.0" encoding="utf-8"?>
<sst xmlns="http://schemas.openxmlformats.org/spreadsheetml/2006/main" count="66" uniqueCount="50">
  <si>
    <t>Item</t>
  </si>
  <si>
    <t>Unit Price</t>
  </si>
  <si>
    <t>Quantity</t>
  </si>
  <si>
    <t>Total Price</t>
  </si>
  <si>
    <t>Use Description</t>
  </si>
  <si>
    <t>Notes</t>
  </si>
  <si>
    <t>Link</t>
  </si>
  <si>
    <t>304 Stainless Steel Sheet 12"x12", 1/4" Thick</t>
  </si>
  <si>
    <t>Raw material for machining baseplate</t>
  </si>
  <si>
    <t>8983K361</t>
  </si>
  <si>
    <t>https://www.mcmaster.com/8983K361/</t>
  </si>
  <si>
    <t>6061 Aluminum Bar 12"x12", 1/4" Thick</t>
  </si>
  <si>
    <t>Raw material for milling or CNC-ing GEMINI internal components</t>
  </si>
  <si>
    <t>8975K142</t>
  </si>
  <si>
    <t>https://www.mcmaster.com/8975K142-9246K13/</t>
  </si>
  <si>
    <t>304 Stainless Steel Sheet 6"x6", 2" Thick</t>
  </si>
  <si>
    <t>6620K149</t>
  </si>
  <si>
    <t>https://www.mcmaster.com/6620K149/</t>
  </si>
  <si>
    <t>4-40 Vented Socket Head Screw 1/2" Long, 5-Pack</t>
  </si>
  <si>
    <t>Assorted fasteners for GEMINI assembly</t>
  </si>
  <si>
    <t>93235A110</t>
  </si>
  <si>
    <t>https://www.mcmaster.com/93235A110/</t>
  </si>
  <si>
    <t>8-32 Vented Socket Head Screw 3/4" Long, 5-Pack</t>
  </si>
  <si>
    <t>93235A197</t>
  </si>
  <si>
    <t>https://www.mcmaster.com/93235A197/</t>
  </si>
  <si>
    <t>4-40 Mil. Spec. Narrow-Profile Hex Nuts, 10-Pack</t>
  </si>
  <si>
    <t>91834A102</t>
  </si>
  <si>
    <t>https://www.mcmaster.com/91834A102/</t>
  </si>
  <si>
    <t>8-32 Mil. Spec. Narrow-Profile Hex Nuts, 10-Pack</t>
  </si>
  <si>
    <t>91834A104</t>
  </si>
  <si>
    <t>https://www.mcmaster.com/91834A104/</t>
  </si>
  <si>
    <t>14-16 AWG #4 Crimp Ring Terminal</t>
  </si>
  <si>
    <t>Ring terminals for supplying power to electrodes</t>
  </si>
  <si>
    <t>2-34119-1</t>
  </si>
  <si>
    <t>https://www.digikey.com/en/products/detail/te-connectivity-amp-connectors/2-34119-1/1136700</t>
  </si>
  <si>
    <t>14-18 AWG #8 Crimp Ring Terminal</t>
  </si>
  <si>
    <t>60771-2</t>
  </si>
  <si>
    <t>https://www.digikey.com/en/products/detail/te-connectivity-amp-connectors/60771-2/665777</t>
  </si>
  <si>
    <t>Female-Female 8-32 Hex Standoff, 2-1/4" Long</t>
  </si>
  <si>
    <t>91115A827</t>
  </si>
  <si>
    <t>https://www.mcmaster.com/91115A827/</t>
  </si>
  <si>
    <t>#4 Ceramic Washer 0.375" OD</t>
  </si>
  <si>
    <t>94610A215</t>
  </si>
  <si>
    <t>https://www.mcmaster.com/94610A225/</t>
  </si>
  <si>
    <t>#8 Ceramic Washer 0.5" OD</t>
  </si>
  <si>
    <t>94610A225</t>
  </si>
  <si>
    <t>Macor Sheet 3"x3", 1/8" Thick</t>
  </si>
  <si>
    <t>Raw Macor for machining insulating parts of GEMINI</t>
  </si>
  <si>
    <t>8489K54</t>
  </si>
  <si>
    <t>https://www.mcmaster.com/8489K54/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</si>
</sst>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7" fillId="0" fontId="2" numFmtId="164" xfId="0" applyBorder="1" applyFont="1" applyNumberFormat="1"/>
    <xf borderId="8" fillId="0" fontId="2" numFmtId="0" xfId="0" applyBorder="1" applyFont="1"/>
    <xf borderId="5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cmaster.com/94610A225/" TargetMode="External"/><Relationship Id="rId10" Type="http://schemas.openxmlformats.org/officeDocument/2006/relationships/hyperlink" Target="https://www.mcmaster.com/91115A827/" TargetMode="External"/><Relationship Id="rId13" Type="http://schemas.openxmlformats.org/officeDocument/2006/relationships/hyperlink" Target="https://www.mcmaster.com/8489K54/" TargetMode="External"/><Relationship Id="rId12" Type="http://schemas.openxmlformats.org/officeDocument/2006/relationships/hyperlink" Target="https://www.mcmaster.com/94610A225/" TargetMode="External"/><Relationship Id="rId1" Type="http://schemas.openxmlformats.org/officeDocument/2006/relationships/hyperlink" Target="https://www.mcmaster.com/8983K361/" TargetMode="External"/><Relationship Id="rId2" Type="http://schemas.openxmlformats.org/officeDocument/2006/relationships/hyperlink" Target="https://www.mcmaster.com/8975K142-9246K13/" TargetMode="External"/><Relationship Id="rId3" Type="http://schemas.openxmlformats.org/officeDocument/2006/relationships/hyperlink" Target="https://www.mcmaster.com/6620K149/" TargetMode="External"/><Relationship Id="rId4" Type="http://schemas.openxmlformats.org/officeDocument/2006/relationships/hyperlink" Target="https://www.mcmaster.com/93235A110/" TargetMode="External"/><Relationship Id="rId9" Type="http://schemas.openxmlformats.org/officeDocument/2006/relationships/hyperlink" Target="https://www.digikey.com/en/products/detail/te-connectivity-amp-connectors/60771-2/665777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mcmaster.com/93235A197/" TargetMode="External"/><Relationship Id="rId6" Type="http://schemas.openxmlformats.org/officeDocument/2006/relationships/hyperlink" Target="https://www.mcmaster.com/91834A102/" TargetMode="External"/><Relationship Id="rId7" Type="http://schemas.openxmlformats.org/officeDocument/2006/relationships/hyperlink" Target="https://www.mcmaster.com/91834A104/" TargetMode="External"/><Relationship Id="rId8" Type="http://schemas.openxmlformats.org/officeDocument/2006/relationships/hyperlink" Target="https://www.digikey.com/en/products/detail/te-connectivity-amp-connectors/2-34119-1/11367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6" max="6" width="49.0"/>
    <col customWidth="1" min="7" max="7" width="21.38"/>
    <col customWidth="1" min="8" max="8" width="36.63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>
      <c r="B3" s="4" t="s">
        <v>7</v>
      </c>
      <c r="C3" s="5">
        <v>56.94</v>
      </c>
      <c r="D3" s="6">
        <v>1.0</v>
      </c>
      <c r="E3" s="5">
        <f t="shared" ref="E3:E15" si="1">C3*D3</f>
        <v>56.94</v>
      </c>
      <c r="F3" s="6" t="s">
        <v>8</v>
      </c>
      <c r="G3" s="6" t="s">
        <v>9</v>
      </c>
      <c r="H3" s="7" t="s">
        <v>10</v>
      </c>
    </row>
    <row r="4">
      <c r="B4" s="4" t="s">
        <v>11</v>
      </c>
      <c r="C4" s="5">
        <v>32.59</v>
      </c>
      <c r="D4" s="6">
        <v>2.0</v>
      </c>
      <c r="E4" s="5">
        <f t="shared" si="1"/>
        <v>65.18</v>
      </c>
      <c r="F4" s="6" t="s">
        <v>12</v>
      </c>
      <c r="G4" s="6" t="s">
        <v>13</v>
      </c>
      <c r="H4" s="7" t="s">
        <v>14</v>
      </c>
    </row>
    <row r="5">
      <c r="B5" s="4" t="s">
        <v>15</v>
      </c>
      <c r="C5" s="5">
        <v>153.33</v>
      </c>
      <c r="D5" s="6">
        <v>1.0</v>
      </c>
      <c r="E5" s="5">
        <f t="shared" si="1"/>
        <v>153.33</v>
      </c>
      <c r="F5" s="6" t="s">
        <v>12</v>
      </c>
      <c r="G5" s="6" t="s">
        <v>16</v>
      </c>
      <c r="H5" s="7" t="s">
        <v>17</v>
      </c>
    </row>
    <row r="6">
      <c r="B6" s="4" t="s">
        <v>18</v>
      </c>
      <c r="C6" s="5">
        <v>12.35</v>
      </c>
      <c r="D6" s="6">
        <v>4.0</v>
      </c>
      <c r="E6" s="5">
        <f t="shared" si="1"/>
        <v>49.4</v>
      </c>
      <c r="F6" s="6" t="s">
        <v>19</v>
      </c>
      <c r="G6" s="6" t="s">
        <v>20</v>
      </c>
      <c r="H6" s="7" t="s">
        <v>21</v>
      </c>
    </row>
    <row r="7">
      <c r="B7" s="4" t="s">
        <v>22</v>
      </c>
      <c r="C7" s="5">
        <v>12.81</v>
      </c>
      <c r="D7" s="6">
        <v>4.0</v>
      </c>
      <c r="E7" s="5">
        <f t="shared" si="1"/>
        <v>51.24</v>
      </c>
      <c r="F7" s="6" t="s">
        <v>19</v>
      </c>
      <c r="G7" s="6" t="s">
        <v>23</v>
      </c>
      <c r="H7" s="7" t="s">
        <v>24</v>
      </c>
    </row>
    <row r="8">
      <c r="B8" s="4" t="s">
        <v>25</v>
      </c>
      <c r="C8" s="5">
        <v>13.8</v>
      </c>
      <c r="D8" s="6">
        <v>2.0</v>
      </c>
      <c r="E8" s="5">
        <f t="shared" si="1"/>
        <v>27.6</v>
      </c>
      <c r="F8" s="6" t="s">
        <v>19</v>
      </c>
      <c r="G8" s="6" t="s">
        <v>26</v>
      </c>
      <c r="H8" s="7" t="s">
        <v>27</v>
      </c>
    </row>
    <row r="9">
      <c r="B9" s="4" t="s">
        <v>28</v>
      </c>
      <c r="C9" s="5">
        <v>15.17</v>
      </c>
      <c r="D9" s="6">
        <v>2.0</v>
      </c>
      <c r="E9" s="5">
        <f t="shared" si="1"/>
        <v>30.34</v>
      </c>
      <c r="F9" s="6" t="s">
        <v>19</v>
      </c>
      <c r="G9" s="6" t="s">
        <v>29</v>
      </c>
      <c r="H9" s="7" t="s">
        <v>30</v>
      </c>
    </row>
    <row r="10">
      <c r="B10" s="4" t="s">
        <v>31</v>
      </c>
      <c r="C10" s="5">
        <v>0.769</v>
      </c>
      <c r="D10" s="6">
        <v>20.0</v>
      </c>
      <c r="E10" s="5">
        <f t="shared" si="1"/>
        <v>15.38</v>
      </c>
      <c r="F10" s="6" t="s">
        <v>32</v>
      </c>
      <c r="G10" s="6" t="s">
        <v>33</v>
      </c>
      <c r="H10" s="7" t="s">
        <v>34</v>
      </c>
    </row>
    <row r="11">
      <c r="B11" s="4" t="s">
        <v>35</v>
      </c>
      <c r="C11" s="5">
        <v>0.109</v>
      </c>
      <c r="D11" s="6">
        <v>20.0</v>
      </c>
      <c r="E11" s="5">
        <f t="shared" si="1"/>
        <v>2.18</v>
      </c>
      <c r="F11" s="6" t="s">
        <v>32</v>
      </c>
      <c r="G11" s="6" t="s">
        <v>36</v>
      </c>
      <c r="H11" s="7" t="s">
        <v>37</v>
      </c>
    </row>
    <row r="12">
      <c r="B12" s="4" t="s">
        <v>38</v>
      </c>
      <c r="C12" s="5">
        <v>3.81</v>
      </c>
      <c r="D12" s="6">
        <v>10.0</v>
      </c>
      <c r="E12" s="5">
        <f t="shared" si="1"/>
        <v>38.1</v>
      </c>
      <c r="F12" s="6" t="s">
        <v>19</v>
      </c>
      <c r="G12" s="6" t="s">
        <v>39</v>
      </c>
      <c r="H12" s="7" t="s">
        <v>40</v>
      </c>
    </row>
    <row r="13">
      <c r="B13" s="4" t="s">
        <v>41</v>
      </c>
      <c r="C13" s="5">
        <v>3.62</v>
      </c>
      <c r="D13" s="6">
        <v>8.0</v>
      </c>
      <c r="E13" s="5">
        <f t="shared" si="1"/>
        <v>28.96</v>
      </c>
      <c r="F13" s="6" t="s">
        <v>19</v>
      </c>
      <c r="G13" s="6" t="s">
        <v>42</v>
      </c>
      <c r="H13" s="7" t="s">
        <v>43</v>
      </c>
    </row>
    <row r="14">
      <c r="B14" s="4" t="s">
        <v>44</v>
      </c>
      <c r="C14" s="5">
        <v>4.25</v>
      </c>
      <c r="D14" s="6">
        <v>8.0</v>
      </c>
      <c r="E14" s="5">
        <f t="shared" si="1"/>
        <v>34</v>
      </c>
      <c r="F14" s="6" t="s">
        <v>19</v>
      </c>
      <c r="G14" s="6" t="s">
        <v>45</v>
      </c>
      <c r="H14" s="7" t="s">
        <v>43</v>
      </c>
    </row>
    <row r="15">
      <c r="B15" s="4" t="s">
        <v>46</v>
      </c>
      <c r="C15" s="5">
        <v>95.32</v>
      </c>
      <c r="D15" s="6">
        <v>1.0</v>
      </c>
      <c r="E15" s="5">
        <f t="shared" si="1"/>
        <v>95.32</v>
      </c>
      <c r="F15" s="6" t="s">
        <v>47</v>
      </c>
      <c r="G15" s="6" t="s">
        <v>48</v>
      </c>
      <c r="H15" s="7" t="s">
        <v>49</v>
      </c>
    </row>
    <row r="16">
      <c r="B16" s="8"/>
      <c r="C16" s="9"/>
      <c r="D16" s="9"/>
      <c r="E16" s="10">
        <f>SUM(E3:E15)</f>
        <v>647.97</v>
      </c>
      <c r="F16" s="9"/>
      <c r="G16" s="9"/>
      <c r="H16" s="11"/>
    </row>
  </sheetData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6" max="6" width="43.0"/>
    <col customWidth="1" min="7" max="7" width="21.38"/>
    <col customWidth="1" min="8" max="8" width="36.63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>
      <c r="B3" s="4"/>
      <c r="C3" s="5"/>
      <c r="E3" s="5">
        <f t="shared" ref="E3:E18" si="1">C3*D3</f>
        <v>0</v>
      </c>
      <c r="H3" s="12"/>
    </row>
    <row r="4">
      <c r="B4" s="4"/>
      <c r="C4" s="5"/>
      <c r="E4" s="5">
        <f t="shared" si="1"/>
        <v>0</v>
      </c>
      <c r="H4" s="12"/>
    </row>
    <row r="5">
      <c r="B5" s="4"/>
      <c r="C5" s="5"/>
      <c r="E5" s="5">
        <f t="shared" si="1"/>
        <v>0</v>
      </c>
      <c r="H5" s="12"/>
    </row>
    <row r="6">
      <c r="B6" s="4"/>
      <c r="C6" s="5"/>
      <c r="E6" s="5">
        <f t="shared" si="1"/>
        <v>0</v>
      </c>
      <c r="H6" s="12"/>
    </row>
    <row r="7">
      <c r="B7" s="4"/>
      <c r="C7" s="5"/>
      <c r="E7" s="5">
        <f t="shared" si="1"/>
        <v>0</v>
      </c>
      <c r="H7" s="12"/>
    </row>
    <row r="8">
      <c r="B8" s="4"/>
      <c r="C8" s="5"/>
      <c r="E8" s="5">
        <f t="shared" si="1"/>
        <v>0</v>
      </c>
      <c r="H8" s="12"/>
    </row>
    <row r="9">
      <c r="B9" s="4"/>
      <c r="C9" s="5"/>
      <c r="E9" s="5">
        <f t="shared" si="1"/>
        <v>0</v>
      </c>
      <c r="H9" s="12"/>
    </row>
    <row r="10">
      <c r="B10" s="4"/>
      <c r="C10" s="5"/>
      <c r="E10" s="5">
        <f t="shared" si="1"/>
        <v>0</v>
      </c>
      <c r="H10" s="12"/>
    </row>
    <row r="11">
      <c r="B11" s="4"/>
      <c r="C11" s="5"/>
      <c r="E11" s="5">
        <f t="shared" si="1"/>
        <v>0</v>
      </c>
      <c r="H11" s="12"/>
    </row>
    <row r="12">
      <c r="B12" s="4"/>
      <c r="C12" s="5"/>
      <c r="E12" s="5">
        <f t="shared" si="1"/>
        <v>0</v>
      </c>
      <c r="H12" s="12"/>
    </row>
    <row r="13">
      <c r="B13" s="13"/>
      <c r="E13" s="5">
        <f t="shared" si="1"/>
        <v>0</v>
      </c>
      <c r="H13" s="14"/>
    </row>
    <row r="14">
      <c r="B14" s="13"/>
      <c r="E14" s="5">
        <f t="shared" si="1"/>
        <v>0</v>
      </c>
      <c r="H14" s="14"/>
    </row>
    <row r="15">
      <c r="B15" s="4"/>
      <c r="E15" s="5">
        <f t="shared" si="1"/>
        <v>0</v>
      </c>
      <c r="H15" s="14"/>
    </row>
    <row r="16">
      <c r="B16" s="13"/>
      <c r="E16" s="5">
        <f t="shared" si="1"/>
        <v>0</v>
      </c>
      <c r="H16" s="14"/>
    </row>
    <row r="17">
      <c r="B17" s="13"/>
      <c r="E17" s="5">
        <f t="shared" si="1"/>
        <v>0</v>
      </c>
      <c r="H17" s="14"/>
    </row>
    <row r="18">
      <c r="B18" s="13"/>
      <c r="E18" s="5">
        <f t="shared" si="1"/>
        <v>0</v>
      </c>
      <c r="H18" s="14"/>
    </row>
    <row r="19">
      <c r="B19" s="13"/>
      <c r="E19" s="15">
        <f>SUM(E3:E18)</f>
        <v>0</v>
      </c>
      <c r="H19" s="14"/>
    </row>
    <row r="20">
      <c r="B20" s="13"/>
      <c r="H20" s="14"/>
    </row>
    <row r="21">
      <c r="B21" s="13"/>
      <c r="H21" s="14"/>
    </row>
    <row r="22">
      <c r="B22" s="13"/>
      <c r="H22" s="14"/>
    </row>
    <row r="23">
      <c r="B23" s="13"/>
      <c r="H23" s="14"/>
    </row>
    <row r="24">
      <c r="B24" s="13"/>
      <c r="H24" s="14"/>
    </row>
    <row r="25">
      <c r="B25" s="13"/>
      <c r="H25" s="14"/>
    </row>
    <row r="26">
      <c r="B26" s="13"/>
      <c r="H26" s="14"/>
    </row>
    <row r="27">
      <c r="B27" s="13"/>
      <c r="H27" s="14"/>
    </row>
    <row r="28">
      <c r="B28" s="13"/>
      <c r="H28" s="14"/>
    </row>
    <row r="29">
      <c r="B29" s="13"/>
      <c r="H29" s="14"/>
    </row>
    <row r="30">
      <c r="B30" s="13"/>
      <c r="H30" s="14"/>
    </row>
    <row r="31">
      <c r="B31" s="13"/>
      <c r="H31" s="14"/>
    </row>
    <row r="32">
      <c r="B32" s="13"/>
      <c r="H32" s="14"/>
    </row>
    <row r="33">
      <c r="B33" s="8"/>
      <c r="C33" s="9"/>
      <c r="D33" s="9"/>
      <c r="E33" s="9"/>
      <c r="F33" s="9"/>
      <c r="G33" s="9"/>
      <c r="H33" s="11"/>
    </row>
  </sheetData>
  <drawing r:id="rId1"/>
</worksheet>
</file>